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" sheetId="1" r:id="rId5"/>
    <sheet state="visible" name="Math &amp; Norm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tc={1a6a0e02-dc32-4c49-a347-5713cc0ba05d}</author>
  </authors>
  <commentList>
    <comment authorId="0" xr:uid="{1a6a0e02-dc32-4c49-a347-5713cc0ba05d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@devin@joinkwikly.com Added the 1700 * .4
</t>
      </text>
    </comment>
  </commentList>
</comments>
</file>

<file path=xl/sharedStrings.xml><?xml version="1.0" encoding="utf-8"?>
<sst xmlns="http://schemas.openxmlformats.org/spreadsheetml/2006/main" count="136" uniqueCount="133">
  <si>
    <t>Kwikly Growth Diagnostic Calculator</t>
  </si>
  <si>
    <t>What the office enters and sees. Blue cells are inputs. Green cells are pulled from the Math &amp; Norms tab.</t>
  </si>
  <si>
    <t>WHAT THE OFFICE ENTERS</t>
  </si>
  <si>
    <t>Hygiene chairs</t>
  </si>
  <si>
    <t>Hygiene patients per chair, per day</t>
  </si>
  <si>
    <t>Shifts unworked per month</t>
  </si>
  <si>
    <t>Shifts a chair sits empty</t>
  </si>
  <si>
    <t>Weeks out booking new patients</t>
  </si>
  <si>
    <t>How far out the schedule is booked</t>
  </si>
  <si>
    <t>WHAT THE OFFICE SEES</t>
  </si>
  <si>
    <t>Active patients (estimated)</t>
  </si>
  <si>
    <t>Derived from chairs and patients per day</t>
  </si>
  <si>
    <t>Booked revenue you protect (per year)</t>
  </si>
  <si>
    <t>Reliable coverage locks most of it back in (this could be lower if we change the fill rate)</t>
  </si>
  <si>
    <t xml:space="preserve">   Currently lost to staffing gaps (per year)</t>
  </si>
  <si>
    <t>Before Kwikly coverage</t>
  </si>
  <si>
    <t>Stuck in your backlog (per year)</t>
  </si>
  <si>
    <t>New patients lost plus revenue left on the table</t>
  </si>
  <si>
    <t xml:space="preserve">   New patients who go elsewhere</t>
  </si>
  <si>
    <t>True loss</t>
  </si>
  <si>
    <t xml:space="preserve">   Recurring revenue left on the table</t>
  </si>
  <si>
    <t>Seen fewer times than recall calls for</t>
  </si>
  <si>
    <t>Your opportunity with Kwikly (per year)</t>
  </si>
  <si>
    <t>Protect plus backlog</t>
  </si>
  <si>
    <t>Recommended per diem shifts per month</t>
  </si>
  <si>
    <t>Cover gaps plus dig out</t>
  </si>
  <si>
    <t>REP TALKING POINT  (not shown on the page)</t>
  </si>
  <si>
    <t>Downstream treatment at stake (per year)</t>
  </si>
  <si>
    <t>40% x $1,700.</t>
  </si>
  <si>
    <t>Total opportunity including downstream</t>
  </si>
  <si>
    <t>Core opportunity plus the downstream talking point</t>
  </si>
  <si>
    <t>Behind the Scenes: Math, Assumptions, and Norms</t>
  </si>
  <si>
    <t>Blue = assumptions you can change. Black = calculated. Green = pulled from the Calculator tab. Yellow = key levers worth a close look.</t>
  </si>
  <si>
    <t>BENCHMARKS AND NORMS</t>
  </si>
  <si>
    <t>Working days per month</t>
  </si>
  <si>
    <t>Industry norm, about 21</t>
  </si>
  <si>
    <t>Production per cleaning visit</t>
  </si>
  <si>
    <t>Includes the doctor exam; PPO norm</t>
  </si>
  <si>
    <t>Production per perio visit</t>
  </si>
  <si>
    <t>Devin; not in the research pass</t>
  </si>
  <si>
    <t>Target cleaning visits per year</t>
  </si>
  <si>
    <t>Every 6 months; validated</t>
  </si>
  <si>
    <t>Target perio visits per year</t>
  </si>
  <si>
    <t>Every 3 months; clinical standard</t>
  </si>
  <si>
    <t>Perio share of patient panel</t>
  </si>
  <si>
    <t>From Devin's note in Slack</t>
  </si>
  <si>
    <t>New patients per chair per month</t>
  </si>
  <si>
    <t>Devin said 30 a month per practice; 30 per chair = 30 at 2 chairs</t>
  </si>
  <si>
    <t>Shifts filled with Kwikly</t>
  </si>
  <si>
    <t>We could use our standard fill rate here if we didnt' want to promise all shifts would be filled</t>
  </si>
  <si>
    <t>New patient value horizon (years)</t>
  </si>
  <si>
    <t>We bank one year of recall</t>
  </si>
  <si>
    <t>Untreated cleanings with downstream potential</t>
  </si>
  <si>
    <t>Devin gave us this. Gross potential, before case acceptance</t>
  </si>
  <si>
    <t>Downstream revenue per case</t>
  </si>
  <si>
    <t>Devin gave us this data. Should note that our researched benchmark is ~$500 to $900; $1,700 implies a crown or implant heavy mix</t>
  </si>
  <si>
    <t>NEW PATIENT LOSS BY BOOKING DISTANCE</t>
  </si>
  <si>
    <t>Weeks out</t>
  </si>
  <si>
    <t>Share lost</t>
  </si>
  <si>
    <t>From the original calculator; not in the research pass</t>
  </si>
  <si>
    <t>4 or less</t>
  </si>
  <si>
    <t>5 to 8</t>
  </si>
  <si>
    <t>9 to 13</t>
  </si>
  <si>
    <t>14 to 26</t>
  </si>
  <si>
    <t>27 or more</t>
  </si>
  <si>
    <t>DERIVED</t>
  </si>
  <si>
    <t>Cleaning (prophy) share of panel</t>
  </si>
  <si>
    <t>100% minus perio, so no double count</t>
  </si>
  <si>
    <t>Cleaning recall interval (months)</t>
  </si>
  <si>
    <t>12 / cleaning visits per year</t>
  </si>
  <si>
    <t>Perio recall interval (months)</t>
  </si>
  <si>
    <t>12 / perio visits per year</t>
  </si>
  <si>
    <t>Active patient panel</t>
  </si>
  <si>
    <t>chairs x patients/day x days x 12 / 2</t>
  </si>
  <si>
    <t>Production per chair per day</t>
  </si>
  <si>
    <t>patients/day x cleaning visit value</t>
  </si>
  <si>
    <t>Backlog in months</t>
  </si>
  <si>
    <t>weeks out x 12 / 52</t>
  </si>
  <si>
    <t>Value per new patient (horizon)</t>
  </si>
  <si>
    <t>cleaning visits/yr x value x horizon</t>
  </si>
  <si>
    <t>THE MATH: STAFFING GAPS (PROTECT)</t>
  </si>
  <si>
    <t>Production at risk per year</t>
  </si>
  <si>
    <t>shifts unworked x 12 x prod per chair per day</t>
  </si>
  <si>
    <t>Recovered with Kwikly (you protect)</t>
  </si>
  <si>
    <t>at risk x fill rate</t>
  </si>
  <si>
    <t>THE MATH: BACKLOG, EXISTING PATIENTS</t>
  </si>
  <si>
    <t>Perio loss factor</t>
  </si>
  <si>
    <t>(months - interval) / interval, capped. Counts past 3 months</t>
  </si>
  <si>
    <t>Lost perio visits per year</t>
  </si>
  <si>
    <t>factor x panel x perio share</t>
  </si>
  <si>
    <t>Perio revenue lost</t>
  </si>
  <si>
    <t>x perio visit value</t>
  </si>
  <si>
    <t>Cleaning loss factor</t>
  </si>
  <si>
    <t>same shape; counts only past 6 months</t>
  </si>
  <si>
    <t>Lost cleaning visits per year</t>
  </si>
  <si>
    <t>factor x panel x cleaning share</t>
  </si>
  <si>
    <t>Cleaning revenue lost</t>
  </si>
  <si>
    <t>x cleaning visit value</t>
  </si>
  <si>
    <t>Recurring revenue left on the table</t>
  </si>
  <si>
    <t>perio lost plus cleaning lost</t>
  </si>
  <si>
    <t>THE MATH: BACKLOG, NEW PATIENTS</t>
  </si>
  <si>
    <t>New patients per year</t>
  </si>
  <si>
    <t>new pt per chair x chairs x 12</t>
  </si>
  <si>
    <t>Loss rate at this booking distance</t>
  </si>
  <si>
    <t>looked up from the table above</t>
  </si>
  <si>
    <t>New patients lost per year</t>
  </si>
  <si>
    <t>new patients x loss rate</t>
  </si>
  <si>
    <t>New patient revenue lost</t>
  </si>
  <si>
    <t>x value per new patient</t>
  </si>
  <si>
    <t>THE MATH: DOWNSTREAM TREATMENT (DEVIN, CONTEXT)</t>
  </si>
  <si>
    <t>Untreated cleaning visits per year</t>
  </si>
  <si>
    <t>lost cadence cleanings plus new patient cleanings</t>
  </si>
  <si>
    <t>With downstream potential</t>
  </si>
  <si>
    <t>x 40% share</t>
  </si>
  <si>
    <t>Downstream revenue at stake</t>
  </si>
  <si>
    <t>x $1,700 per case. Largest and softest line; rep talking point only</t>
  </si>
  <si>
    <t>THE MATH: TOTALS</t>
  </si>
  <si>
    <t>Backlog total (core)</t>
  </si>
  <si>
    <t>recurring plus new patients, no downstream</t>
  </si>
  <si>
    <t>Booked revenue protected</t>
  </si>
  <si>
    <t>Total opportunity, core</t>
  </si>
  <si>
    <t>what the office sees</t>
  </si>
  <si>
    <t>Downstream (context, Devin's numbers)</t>
  </si>
  <si>
    <t>Total opportunity with downstream</t>
  </si>
  <si>
    <t>core plus downstream talking point</t>
  </si>
  <si>
    <t>THE MATH: RECOMMENDED SHIFTS</t>
  </si>
  <si>
    <t>Shifts to cover gaps</t>
  </si>
  <si>
    <t>rounded shifts unworked</t>
  </si>
  <si>
    <t>Lost visits to dig out</t>
  </si>
  <si>
    <t>perio + cleaning + new patient visits</t>
  </si>
  <si>
    <t>Dig-out shifts per month</t>
  </si>
  <si>
    <t>lost visits / patients per day / 12</t>
  </si>
  <si>
    <t>cover gaps plus dig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</si>
</sst>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;&quot;($&quot;#,##0\);\-"/>
    <numFmt numFmtId="165" formatCode="0.0%"/>
    <numFmt numFmtId="166" formatCode="0.0"/>
  </numFmts>
  <fonts count="11">
    <font>
      <sz val="11.0"/>
      <color theme="1"/>
      <name val="Calibri"/>
      <scheme val="minor"/>
    </font>
    <font>
      <b/>
      <sz val="15.0"/>
      <color rgb="FF0D2240"/>
      <name val="Arial"/>
    </font>
    <font>
      <i/>
      <sz val="9.0"/>
      <color rgb="FF555555"/>
      <name val="Arial"/>
    </font>
    <font>
      <b/>
      <sz val="11.0"/>
      <color rgb="FFFFFFFF"/>
      <name val="Arial"/>
    </font>
    <font>
      <sz val="10.0"/>
      <color rgb="FF000000"/>
      <name val="Arial"/>
    </font>
    <font>
      <sz val="10.0"/>
      <color rgb="FF0000FF"/>
      <name val="Arial"/>
    </font>
    <font>
      <i/>
      <sz val="9.0"/>
      <color rgb="FF888888"/>
      <name val="Arial"/>
    </font>
    <font>
      <sz val="10.0"/>
      <color rgb="FF008000"/>
      <name val="Arial"/>
    </font>
    <font>
      <b/>
      <sz val="11.0"/>
      <color rgb="FF000000"/>
      <name val="Arial"/>
    </font>
    <font>
      <b/>
      <sz val="11.0"/>
      <color rgb="FF008000"/>
      <name val="Arial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D2240"/>
        <bgColor rgb="FF0D2240"/>
      </patternFill>
    </fill>
    <fill>
      <patternFill patternType="solid">
        <fgColor rgb="FFE84B6A"/>
        <bgColor rgb="FFE84B6A"/>
      </patternFill>
    </fill>
    <fill>
      <patternFill patternType="solid">
        <fgColor rgb="FFFFF3B0"/>
        <bgColor rgb="FFFFF3B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3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3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1" fillId="4" fontId="5" numFmtId="164" xfId="0" applyAlignment="1" applyBorder="1" applyFill="1" applyFont="1" applyNumberFormat="1">
      <alignment shrinkToFit="0" vertical="bottom" wrapText="0"/>
    </xf>
    <xf borderId="1" fillId="4" fontId="5" numFmtId="3" xfId="0" applyAlignment="1" applyBorder="1" applyFont="1" applyNumberFormat="1">
      <alignment shrinkToFit="0" vertical="bottom" wrapText="0"/>
    </xf>
    <xf borderId="1" fillId="4" fontId="5" numFmtId="165" xfId="0" applyAlignment="1" applyBorder="1" applyFont="1" applyNumberFormat="1">
      <alignment shrinkToFit="0" vertical="bottom" wrapText="0"/>
    </xf>
    <xf borderId="1" fillId="4" fontId="5" numFmtId="3" xfId="0" applyAlignment="1" applyBorder="1" applyFont="1" applyNumberFormat="1">
      <alignment readingOrder="0" shrinkToFit="0" vertical="bottom" wrapText="0"/>
    </xf>
    <xf borderId="1" fillId="4" fontId="5" numFmtId="165" xfId="0" applyAlignment="1" applyBorder="1" applyFont="1" applyNumberForma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right" shrinkToFit="0" vertical="center" wrapText="0"/>
    </xf>
    <xf borderId="0" fillId="0" fontId="4" numFmtId="165" xfId="0" applyAlignment="1" applyFont="1" applyNumberForma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center" wrapText="1"/>
    </xf>
    <xf borderId="0" fillId="0" fontId="4" numFmtId="166" xfId="0" applyAlignment="1" applyFont="1" applyNumberFormat="1">
      <alignment shrinkToFit="0" vertical="bottom" wrapText="0"/>
    </xf>
    <xf borderId="1" fillId="4" fontId="10" numFmtId="164" xfId="0" applyAlignment="1" applyBorder="1" applyFont="1" applyNumberFormat="1">
      <alignment shrinkToFit="0" vertical="bottom" wrapText="0"/>
    </xf>
    <xf borderId="0" fillId="0" fontId="10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stin Bosco" id="{2c25bb2f-3cc2-4c3d-b411-532c00930b71}" providerId="google-sheets"/>
  <x18tc:person displayName="devin@joinkwikly.com" id="{f110e371-91fb-4323-a9d1-3e21d46e8597}" userId="devin@joinkwikly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1" dT="2026-06-01T17:45:52.00" personId="{2c25bb2f-3cc2-4c3d-b411-532c00930b71}" id="{1a6a0e02-dc32-4c49-a347-5713cc0ba05d}" done="0">
    <x18tc:text xml:space="preserve">@devin@joinkwikly.com Added the 1700 * .4</x18tc:text>
    <x18tc:mentions>
      <x18tc:mention mentionpersonId="{f110e371-91fb-4323-a9d1-3e21d46e8597}" mentionId="{492966d0-485f-4d36-861f-9c48d915032f}" startIndex="0" length="2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18.0"/>
    <col customWidth="1" min="3" max="3" width="48.0"/>
    <col customWidth="1" min="4" max="26" width="8.71"/>
  </cols>
  <sheetData>
    <row r="1">
      <c r="A1" s="1" t="s">
        <v>0</v>
      </c>
    </row>
    <row r="2" ht="15.0" customHeight="1">
      <c r="A2" s="2" t="s">
        <v>1</v>
      </c>
    </row>
    <row r="4">
      <c r="A4" s="3" t="s">
        <v>2</v>
      </c>
      <c r="B4" s="3"/>
      <c r="C4" s="3"/>
    </row>
    <row r="5">
      <c r="A5" s="4" t="s">
        <v>3</v>
      </c>
      <c r="B5" s="5">
        <v>2.0</v>
      </c>
    </row>
    <row r="6">
      <c r="A6" s="4" t="s">
        <v>4</v>
      </c>
      <c r="B6" s="5">
        <v>8.0</v>
      </c>
    </row>
    <row r="7">
      <c r="A7" s="4" t="s">
        <v>5</v>
      </c>
      <c r="B7" s="5">
        <v>2.0</v>
      </c>
      <c r="C7" s="6" t="s">
        <v>6</v>
      </c>
    </row>
    <row r="8">
      <c r="A8" s="4" t="s">
        <v>7</v>
      </c>
      <c r="B8" s="5">
        <v>16.0</v>
      </c>
      <c r="C8" s="6" t="s">
        <v>8</v>
      </c>
    </row>
    <row r="10">
      <c r="A10" s="3" t="s">
        <v>9</v>
      </c>
      <c r="B10" s="3"/>
      <c r="C10" s="3"/>
    </row>
    <row r="11">
      <c r="A11" s="4" t="s">
        <v>10</v>
      </c>
      <c r="B11" s="7">
        <f>'Math &amp; Norms'!B29</f>
        <v>2016</v>
      </c>
      <c r="C11" s="6" t="s">
        <v>11</v>
      </c>
    </row>
    <row r="12">
      <c r="A12" s="8" t="s">
        <v>12</v>
      </c>
      <c r="B12" s="9">
        <f>'Math &amp; Norms'!B36</f>
        <v>28800</v>
      </c>
      <c r="C12" s="10" t="s">
        <v>13</v>
      </c>
    </row>
    <row r="13">
      <c r="A13" s="4" t="s">
        <v>14</v>
      </c>
      <c r="B13" s="11">
        <f>'Math &amp; Norms'!B35</f>
        <v>28800</v>
      </c>
      <c r="C13" s="6" t="s">
        <v>15</v>
      </c>
    </row>
    <row r="14">
      <c r="A14" s="8" t="s">
        <v>16</v>
      </c>
      <c r="B14" s="9">
        <f>'Math &amp; Norms'!B61</f>
        <v>66876.92308</v>
      </c>
      <c r="C14" s="6" t="s">
        <v>17</v>
      </c>
    </row>
    <row r="15">
      <c r="A15" s="4" t="s">
        <v>18</v>
      </c>
      <c r="B15" s="11">
        <f>'Math &amp; Norms'!B51</f>
        <v>37800</v>
      </c>
      <c r="C15" s="6" t="s">
        <v>19</v>
      </c>
    </row>
    <row r="16">
      <c r="A16" s="4" t="s">
        <v>20</v>
      </c>
      <c r="B16" s="11">
        <f>'Math &amp; Norms'!B45</f>
        <v>29076.92308</v>
      </c>
      <c r="C16" s="6" t="s">
        <v>21</v>
      </c>
    </row>
    <row r="17">
      <c r="A17" s="8" t="s">
        <v>22</v>
      </c>
      <c r="B17" s="9">
        <f>'Math &amp; Norms'!B63</f>
        <v>95676.92308</v>
      </c>
      <c r="C17" s="6" t="s">
        <v>23</v>
      </c>
    </row>
    <row r="18">
      <c r="A18" s="4" t="s">
        <v>24</v>
      </c>
      <c r="B18" s="7">
        <f>'Math &amp; Norms'!B71</f>
        <v>6</v>
      </c>
      <c r="C18" s="6" t="s">
        <v>25</v>
      </c>
    </row>
    <row r="20">
      <c r="A20" s="12" t="s">
        <v>26</v>
      </c>
      <c r="B20" s="12"/>
      <c r="C20" s="12"/>
    </row>
    <row r="21" ht="15.75" customHeight="1">
      <c r="A21" s="4" t="s">
        <v>27</v>
      </c>
      <c r="B21" s="11">
        <f>'Math &amp; Norms'!B56</f>
        <v>171360</v>
      </c>
      <c r="C21" s="10" t="s">
        <v>28</v>
      </c>
    </row>
    <row r="22" ht="15.75" customHeight="1">
      <c r="A22" s="8" t="s">
        <v>29</v>
      </c>
      <c r="B22" s="9">
        <f>'Math &amp; Norms'!B65</f>
        <v>267036.9231</v>
      </c>
      <c r="C22" s="6" t="s">
        <v>30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2" width="16.0"/>
    <col customWidth="1" min="3" max="3" width="50.0"/>
    <col customWidth="1" min="4" max="26" width="8.71"/>
  </cols>
  <sheetData>
    <row r="1">
      <c r="A1" s="1" t="s">
        <v>31</v>
      </c>
    </row>
    <row r="2" ht="15.0" customHeight="1">
      <c r="A2" s="2" t="s">
        <v>32</v>
      </c>
    </row>
    <row r="4">
      <c r="A4" s="3" t="s">
        <v>33</v>
      </c>
      <c r="B4" s="3"/>
      <c r="C4" s="3"/>
    </row>
    <row r="5">
      <c r="A5" s="4" t="s">
        <v>34</v>
      </c>
      <c r="B5" s="5">
        <v>21.0</v>
      </c>
      <c r="C5" s="10" t="s">
        <v>35</v>
      </c>
    </row>
    <row r="6">
      <c r="A6" s="4" t="s">
        <v>36</v>
      </c>
      <c r="B6" s="13">
        <v>150.0</v>
      </c>
      <c r="C6" s="10" t="s">
        <v>37</v>
      </c>
    </row>
    <row r="7">
      <c r="A7" s="4" t="s">
        <v>38</v>
      </c>
      <c r="B7" s="14">
        <v>250.0</v>
      </c>
      <c r="C7" s="10" t="s">
        <v>39</v>
      </c>
    </row>
    <row r="8">
      <c r="A8" s="4" t="s">
        <v>40</v>
      </c>
      <c r="B8" s="5">
        <v>2.0</v>
      </c>
      <c r="C8" s="10" t="s">
        <v>41</v>
      </c>
    </row>
    <row r="9">
      <c r="A9" s="4" t="s">
        <v>42</v>
      </c>
      <c r="B9" s="15">
        <v>4.0</v>
      </c>
      <c r="C9" s="10" t="s">
        <v>43</v>
      </c>
    </row>
    <row r="10">
      <c r="A10" s="4" t="s">
        <v>44</v>
      </c>
      <c r="B10" s="16">
        <v>0.25</v>
      </c>
      <c r="C10" s="10" t="s">
        <v>45</v>
      </c>
    </row>
    <row r="11">
      <c r="A11" s="4" t="s">
        <v>46</v>
      </c>
      <c r="B11" s="17">
        <v>15.0</v>
      </c>
      <c r="C11" s="10" t="s">
        <v>47</v>
      </c>
    </row>
    <row r="12">
      <c r="A12" s="4" t="s">
        <v>48</v>
      </c>
      <c r="B12" s="18">
        <v>1.0</v>
      </c>
      <c r="C12" s="10" t="s">
        <v>49</v>
      </c>
    </row>
    <row r="13">
      <c r="A13" s="4" t="s">
        <v>50</v>
      </c>
      <c r="B13" s="5">
        <v>1.0</v>
      </c>
      <c r="C13" s="10" t="s">
        <v>51</v>
      </c>
    </row>
    <row r="14">
      <c r="A14" s="4" t="s">
        <v>52</v>
      </c>
      <c r="B14" s="16">
        <v>0.4</v>
      </c>
      <c r="C14" s="10" t="s">
        <v>53</v>
      </c>
    </row>
    <row r="15">
      <c r="A15" s="4" t="s">
        <v>54</v>
      </c>
      <c r="B15" s="14">
        <v>1700.0</v>
      </c>
      <c r="C15" s="10" t="s">
        <v>55</v>
      </c>
    </row>
    <row r="17">
      <c r="A17" s="3" t="s">
        <v>56</v>
      </c>
      <c r="B17" s="3"/>
      <c r="C17" s="3"/>
    </row>
    <row r="18">
      <c r="A18" s="19" t="s">
        <v>57</v>
      </c>
      <c r="B18" s="20" t="s">
        <v>58</v>
      </c>
      <c r="C18" s="6" t="s">
        <v>59</v>
      </c>
    </row>
    <row r="19">
      <c r="A19" s="4" t="s">
        <v>60</v>
      </c>
      <c r="B19" s="16">
        <v>0.0</v>
      </c>
    </row>
    <row r="20">
      <c r="A20" s="4" t="s">
        <v>61</v>
      </c>
      <c r="B20" s="16">
        <v>0.1</v>
      </c>
    </row>
    <row r="21" ht="15.75" customHeight="1">
      <c r="A21" s="4" t="s">
        <v>62</v>
      </c>
      <c r="B21" s="16">
        <v>0.2</v>
      </c>
    </row>
    <row r="22" ht="15.75" customHeight="1">
      <c r="A22" s="4" t="s">
        <v>63</v>
      </c>
      <c r="B22" s="16">
        <v>0.35</v>
      </c>
    </row>
    <row r="23" ht="15.75" customHeight="1">
      <c r="A23" s="4" t="s">
        <v>64</v>
      </c>
      <c r="B23" s="16">
        <v>0.5</v>
      </c>
    </row>
    <row r="24" ht="15.75" customHeight="1"/>
    <row r="25" ht="15.75" customHeight="1">
      <c r="A25" s="3" t="s">
        <v>65</v>
      </c>
      <c r="B25" s="3"/>
      <c r="C25" s="3"/>
    </row>
    <row r="26" ht="15.75" customHeight="1">
      <c r="A26" s="4" t="s">
        <v>66</v>
      </c>
      <c r="B26" s="21">
        <f>1-B10</f>
        <v>0.75</v>
      </c>
      <c r="C26" s="6" t="s">
        <v>67</v>
      </c>
    </row>
    <row r="27" ht="15.75" customHeight="1">
      <c r="A27" s="4" t="s">
        <v>68</v>
      </c>
      <c r="B27" s="22">
        <f t="shared" ref="B27:B28" si="1">12/B8</f>
        <v>6</v>
      </c>
      <c r="C27" s="6" t="s">
        <v>69</v>
      </c>
    </row>
    <row r="28" ht="15.75" customHeight="1">
      <c r="A28" s="4" t="s">
        <v>70</v>
      </c>
      <c r="B28" s="22">
        <f t="shared" si="1"/>
        <v>3</v>
      </c>
      <c r="C28" s="6" t="s">
        <v>71</v>
      </c>
    </row>
    <row r="29" ht="15.75" customHeight="1">
      <c r="A29" s="4" t="s">
        <v>72</v>
      </c>
      <c r="B29" s="23">
        <f>Calculator!B5*Calculator!B6*B5*12/2</f>
        <v>2016</v>
      </c>
      <c r="C29" s="6" t="s">
        <v>73</v>
      </c>
    </row>
    <row r="30" ht="15.75" customHeight="1">
      <c r="A30" s="4" t="s">
        <v>74</v>
      </c>
      <c r="B30" s="24">
        <f>Calculator!B6*B6</f>
        <v>1200</v>
      </c>
      <c r="C30" s="6" t="s">
        <v>75</v>
      </c>
    </row>
    <row r="31" ht="15.75" customHeight="1">
      <c r="A31" s="4" t="s">
        <v>76</v>
      </c>
      <c r="B31" s="22">
        <f>Calculator!B8*12/52</f>
        <v>3.692307692</v>
      </c>
      <c r="C31" s="6" t="s">
        <v>77</v>
      </c>
    </row>
    <row r="32" ht="15.75" customHeight="1">
      <c r="A32" s="4" t="s">
        <v>78</v>
      </c>
      <c r="B32" s="24">
        <f>B8*B6*B13</f>
        <v>300</v>
      </c>
      <c r="C32" s="6" t="s">
        <v>79</v>
      </c>
    </row>
    <row r="33" ht="15.75" customHeight="1"/>
    <row r="34" ht="15.75" customHeight="1">
      <c r="A34" s="3" t="s">
        <v>80</v>
      </c>
      <c r="B34" s="3"/>
      <c r="C34" s="3"/>
    </row>
    <row r="35" ht="15.75" customHeight="1">
      <c r="A35" s="4" t="s">
        <v>81</v>
      </c>
      <c r="B35" s="24">
        <f>Calculator!B7*12*B30</f>
        <v>28800</v>
      </c>
      <c r="C35" s="6" t="s">
        <v>82</v>
      </c>
    </row>
    <row r="36" ht="15.75" customHeight="1">
      <c r="A36" s="19" t="s">
        <v>83</v>
      </c>
      <c r="B36" s="25">
        <f>B35*B12</f>
        <v>28800</v>
      </c>
      <c r="C36" s="6" t="s">
        <v>84</v>
      </c>
    </row>
    <row r="37" ht="15.75" customHeight="1"/>
    <row r="38" ht="15.75" customHeight="1">
      <c r="A38" s="3" t="s">
        <v>85</v>
      </c>
      <c r="B38" s="3"/>
      <c r="C38" s="3"/>
    </row>
    <row r="39" ht="15.75" customHeight="1">
      <c r="A39" s="4" t="s">
        <v>86</v>
      </c>
      <c r="B39" s="22">
        <f>IF(B31&gt;B28,MIN((B31-B28)/B28,B9),0)</f>
        <v>0.2307692308</v>
      </c>
      <c r="C39" s="26" t="s">
        <v>87</v>
      </c>
    </row>
    <row r="40" ht="15.75" customHeight="1">
      <c r="A40" s="4" t="s">
        <v>88</v>
      </c>
      <c r="B40" s="27">
        <f>B39*B29*B10</f>
        <v>116.3076923</v>
      </c>
      <c r="C40" s="6" t="s">
        <v>89</v>
      </c>
    </row>
    <row r="41" ht="15.75" customHeight="1">
      <c r="A41" s="4" t="s">
        <v>90</v>
      </c>
      <c r="B41" s="24">
        <f>B40*B7</f>
        <v>29076.92308</v>
      </c>
      <c r="C41" s="6" t="s">
        <v>91</v>
      </c>
    </row>
    <row r="42" ht="15.75" customHeight="1">
      <c r="A42" s="4" t="s">
        <v>92</v>
      </c>
      <c r="B42" s="22">
        <f>IF(B31&gt;B27,MIN((B31-B27)/B27,B8),0)</f>
        <v>0</v>
      </c>
      <c r="C42" s="6" t="s">
        <v>93</v>
      </c>
    </row>
    <row r="43" ht="15.75" customHeight="1">
      <c r="A43" s="4" t="s">
        <v>94</v>
      </c>
      <c r="B43" s="27">
        <f>B42*B29*B26</f>
        <v>0</v>
      </c>
      <c r="C43" s="6" t="s">
        <v>95</v>
      </c>
    </row>
    <row r="44" ht="15.75" customHeight="1">
      <c r="A44" s="4" t="s">
        <v>96</v>
      </c>
      <c r="B44" s="24">
        <f>B43*B6</f>
        <v>0</v>
      </c>
      <c r="C44" s="6" t="s">
        <v>97</v>
      </c>
    </row>
    <row r="45" ht="15.75" customHeight="1">
      <c r="A45" s="19" t="s">
        <v>98</v>
      </c>
      <c r="B45" s="25">
        <f>B41+B44</f>
        <v>29076.92308</v>
      </c>
      <c r="C45" s="6" t="s">
        <v>99</v>
      </c>
    </row>
    <row r="46" ht="15.75" customHeight="1"/>
    <row r="47" ht="15.75" customHeight="1">
      <c r="A47" s="3" t="s">
        <v>100</v>
      </c>
      <c r="B47" s="3"/>
      <c r="C47" s="3"/>
    </row>
    <row r="48" ht="15.75" customHeight="1">
      <c r="A48" s="4" t="s">
        <v>101</v>
      </c>
      <c r="B48" s="23">
        <f>B11*Calculator!B5*12</f>
        <v>360</v>
      </c>
      <c r="C48" s="6" t="s">
        <v>102</v>
      </c>
    </row>
    <row r="49" ht="15.75" customHeight="1">
      <c r="A49" s="4" t="s">
        <v>103</v>
      </c>
      <c r="B49" s="21">
        <f>IF(Calculator!B8&lt;=4,B19,IF(Calculator!B8&lt;=8,B20,IF(Calculator!B8&lt;=13,B21,IF(Calculator!B8&lt;=26,B22,B23))))</f>
        <v>0.35</v>
      </c>
      <c r="C49" s="6" t="s">
        <v>104</v>
      </c>
    </row>
    <row r="50" ht="15.75" customHeight="1">
      <c r="A50" s="4" t="s">
        <v>105</v>
      </c>
      <c r="B50" s="27">
        <f>B48*B49</f>
        <v>126</v>
      </c>
      <c r="C50" s="6" t="s">
        <v>106</v>
      </c>
    </row>
    <row r="51" ht="15.75" customHeight="1">
      <c r="A51" s="19" t="s">
        <v>107</v>
      </c>
      <c r="B51" s="25">
        <f>B50*B32</f>
        <v>37800</v>
      </c>
      <c r="C51" s="6" t="s">
        <v>108</v>
      </c>
    </row>
    <row r="52" ht="15.75" customHeight="1"/>
    <row r="53" ht="15.75" customHeight="1">
      <c r="A53" s="12" t="s">
        <v>109</v>
      </c>
      <c r="B53" s="12"/>
      <c r="C53" s="12"/>
    </row>
    <row r="54" ht="15.75" customHeight="1">
      <c r="A54" s="4" t="s">
        <v>110</v>
      </c>
      <c r="B54" s="27">
        <f>B43+(B50*B8)</f>
        <v>252</v>
      </c>
      <c r="C54" s="26" t="s">
        <v>111</v>
      </c>
    </row>
    <row r="55" ht="15.75" customHeight="1">
      <c r="A55" s="4" t="s">
        <v>112</v>
      </c>
      <c r="B55" s="27">
        <f t="shared" ref="B55:B56" si="2">B54*B14</f>
        <v>100.8</v>
      </c>
      <c r="C55" s="6" t="s">
        <v>113</v>
      </c>
    </row>
    <row r="56" ht="15.75" customHeight="1">
      <c r="A56" s="19" t="s">
        <v>114</v>
      </c>
      <c r="B56" s="25">
        <f t="shared" si="2"/>
        <v>171360</v>
      </c>
      <c r="C56" s="26" t="s">
        <v>115</v>
      </c>
    </row>
    <row r="57" ht="15.75" customHeight="1"/>
    <row r="58" ht="15.75" customHeight="1">
      <c r="A58" s="3" t="s">
        <v>116</v>
      </c>
      <c r="B58" s="3"/>
      <c r="C58" s="3"/>
    </row>
    <row r="59" ht="15.75" customHeight="1">
      <c r="A59" s="4" t="s">
        <v>98</v>
      </c>
      <c r="B59" s="24">
        <f>B45</f>
        <v>29076.92308</v>
      </c>
    </row>
    <row r="60" ht="15.75" customHeight="1">
      <c r="A60" s="4" t="s">
        <v>107</v>
      </c>
      <c r="B60" s="24">
        <f>B51</f>
        <v>37800</v>
      </c>
    </row>
    <row r="61" ht="15.75" customHeight="1">
      <c r="A61" s="19" t="s">
        <v>117</v>
      </c>
      <c r="B61" s="25">
        <f>B45+B51</f>
        <v>66876.92308</v>
      </c>
      <c r="C61" s="6" t="s">
        <v>118</v>
      </c>
    </row>
    <row r="62" ht="15.75" customHeight="1">
      <c r="A62" s="4" t="s">
        <v>119</v>
      </c>
      <c r="B62" s="24">
        <f>B36</f>
        <v>28800</v>
      </c>
    </row>
    <row r="63" ht="15.75" customHeight="1">
      <c r="A63" s="19" t="s">
        <v>120</v>
      </c>
      <c r="B63" s="25">
        <f>B36+B61</f>
        <v>95676.92308</v>
      </c>
      <c r="C63" s="6" t="s">
        <v>121</v>
      </c>
    </row>
    <row r="64" ht="15.75" customHeight="1">
      <c r="A64" s="4" t="s">
        <v>122</v>
      </c>
      <c r="B64" s="24">
        <f>B56</f>
        <v>171360</v>
      </c>
    </row>
    <row r="65" ht="15.75" customHeight="1">
      <c r="A65" s="19" t="s">
        <v>123</v>
      </c>
      <c r="B65" s="28">
        <f>B63+B64</f>
        <v>267036.9231</v>
      </c>
      <c r="C65" s="6" t="s">
        <v>124</v>
      </c>
    </row>
    <row r="66" ht="15.75" customHeight="1"/>
    <row r="67" ht="15.75" customHeight="1">
      <c r="A67" s="3" t="s">
        <v>125</v>
      </c>
      <c r="B67" s="3"/>
      <c r="C67" s="3"/>
    </row>
    <row r="68" ht="15.75" customHeight="1">
      <c r="A68" s="4" t="s">
        <v>126</v>
      </c>
      <c r="B68" s="23">
        <f>ROUND(Calculator!B7,0)</f>
        <v>2</v>
      </c>
      <c r="C68" s="6" t="s">
        <v>127</v>
      </c>
    </row>
    <row r="69" ht="15.75" customHeight="1">
      <c r="A69" s="4" t="s">
        <v>128</v>
      </c>
      <c r="B69" s="27">
        <f>B40+B43+(B50*B8)</f>
        <v>368.3076923</v>
      </c>
      <c r="C69" s="6" t="s">
        <v>129</v>
      </c>
    </row>
    <row r="70" ht="15.75" customHeight="1">
      <c r="A70" s="4" t="s">
        <v>130</v>
      </c>
      <c r="B70" s="27">
        <f>IF(Calculator!B6&gt;0,B69/Calculator!B6/12,0)</f>
        <v>3.836538462</v>
      </c>
      <c r="C70" s="6" t="s">
        <v>131</v>
      </c>
    </row>
    <row r="71" ht="15.75" customHeight="1">
      <c r="A71" s="19" t="s">
        <v>24</v>
      </c>
      <c r="B71" s="29">
        <f>B68+ROUND(B70,0)</f>
        <v>6</v>
      </c>
      <c r="C71" s="6" t="s">
        <v>132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rintOptions/>
  <pageMargins bottom="1.0" footer="0.0" header="0.0" left="0.75" right="0.75" top="1.0"/>
  <pageSetup paperSize="9" orientation="portrait"/>
  <drawing r:id="rId1"/>
</worksheet>
</file>